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Policy states are judgement: +1 = full move in that factor vs status quo. Trump presidency fixed to Jan-2029.</t>
        </r>
      </text>
    </comment>
    <comment ref="B15" authorId="0">
      <text>
        <r>
          <rPr>
            <sz val="10"/>
            <rFont val="Arial"/>
            <family val="2"/>
          </rPr>
          <t xml:space="preserve">Expert-prior loadings: equities load on growth agenda (FISC, REG) and political conflict (POL); little on Fed independence (INST).</t>
        </r>
      </text>
    </comment>
    <comment ref="G6" authorId="0">
      <text>
        <r>
          <rPr>
            <sz val="10"/>
            <rFont val="Arial"/>
            <family val="2"/>
          </rPr>
          <t xml:space="preserve">Source: DeFi Rate average of Kalshi/Polymarket balance-of-power contracts, 28-Sep-2026.</t>
        </r>
      </text>
    </comment>
    <comment ref="H15" authorId="0">
      <text>
        <r>
          <rPr>
            <sz val="10"/>
            <rFont val="Arial"/>
            <family val="2"/>
          </rPr>
          <t xml:space="preserve">Reflation-regime coupling (2016/2024): S&amp;P +0.10σ per 1σ rise in 10y. Others 0.</t>
        </r>
      </text>
    </comment>
  </commentList>
</comments>
</file>

<file path=xl/sharedStrings.xml><?xml version="1.0" encoding="utf-8"?>
<sst xmlns="http://schemas.openxmlformats.org/spreadsheetml/2006/main" count="63" uniqueCount="50">
  <si>
    <t xml:space="preserve">US midterms — DD / RR direction vs share priced (λ) and relief rally</t>
  </si>
  <si>
    <t xml:space="preserve">u = x(s) − λ·E[x].  λ = 0: nothing priced (BofA lens).  λ = 1: fully priced (prediction-market odds).  Relief = 1 adds the uncertainty-resolution vol crush.</t>
  </si>
  <si>
    <t xml:space="preserve">z in σ-units (T+1). Edit λ / relief (blue) or any input on Model; signs use the threshold on Model!B21.</t>
  </si>
  <si>
    <t xml:space="preserve">Assumption</t>
  </si>
  <si>
    <t xml:space="preserve">DD (Dem House / Dem Senate)</t>
  </si>
  <si>
    <t xml:space="preserve">RR (Rep House / Rep Senate)</t>
  </si>
  <si>
    <t xml:space="preserve">λ (share priced)</t>
  </si>
  <si>
    <t xml:space="preserve">Relief (1/0)</t>
  </si>
  <si>
    <t xml:space="preserve">Equities z</t>
  </si>
  <si>
    <t xml:space="preserve">Equities sign</t>
  </si>
  <si>
    <t xml:space="preserve">10y z</t>
  </si>
  <si>
    <t xml:space="preserve">10y sign</t>
  </si>
  <si>
    <t xml:space="preserve">USD z</t>
  </si>
  <si>
    <t xml:space="preserve">USD sign</t>
  </si>
  <si>
    <t xml:space="preserve">Vol z</t>
  </si>
  <si>
    <t xml:space="preserve">Vol sign</t>
  </si>
  <si>
    <t xml:space="preserve">Highlighted rows</t>
  </si>
  <si>
    <t xml:space="preserve">λ = 0, relief 0 → tail stress (BofA-consistent).  λ = 0.75, relief 1 → suggested central case.</t>
  </si>
  <si>
    <t xml:space="preserve">Reading</t>
  </si>
  <si>
    <t xml:space="preserve">• DD equities: z &lt; 0 for λ below ~0.8 even with relief, but clear the ±0.25 sign threshold only for λ ≤ ~0.4 (without relief: ↓ at every λ).</t>
  </si>
  <si>
    <t xml:space="preserve">• DD vol ↑ needs both: nothing priced and no relief rally.</t>
  </si>
  <si>
    <t xml:space="preserve">• DD USD never ↓ here: Senate block on Fed nominees (INST) offsets lower rates — a channel difference vs BofA, not a pricing one.</t>
  </si>
  <si>
    <t xml:space="preserve">• RR equities, 10y, USD ↑ at every λ; RR vol ↑ only with λ = 0 and no relief.</t>
  </si>
  <si>
    <t xml:space="preserve">• Evidence against λ = 0: Oct-2024 'Trump trade' — rates, USD, BTC tracked Polymarket odds before the vote.</t>
  </si>
  <si>
    <t xml:space="preserve">Model inputs — v3 expert-prior loadings, reflation regime (T+1)</t>
  </si>
  <si>
    <t xml:space="preserve">Blue = input. Yellow = key assumption. Change any input and Summary recalculates.</t>
  </si>
  <si>
    <t xml:space="preserve">Policy state x_k(s) and priors</t>
  </si>
  <si>
    <t xml:space="preserve">Scenario</t>
  </si>
  <si>
    <t xml:space="preserve">FISC</t>
  </si>
  <si>
    <t xml:space="preserve">TRADE</t>
  </si>
  <si>
    <t xml:space="preserve">INST</t>
  </si>
  <si>
    <t xml:space="preserve">POL</t>
  </si>
  <si>
    <t xml:space="preserve">REG</t>
  </si>
  <si>
    <t xml:space="preserve">Prior (raw)</t>
  </si>
  <si>
    <t xml:space="preserve">Prior (norm.)</t>
  </si>
  <si>
    <t xml:space="preserve">RR</t>
  </si>
  <si>
    <t xml:space="preserve">DD</t>
  </si>
  <si>
    <t xml:space="preserve">RD</t>
  </si>
  <si>
    <t xml:space="preserve">DR</t>
  </si>
  <si>
    <t xml:space="preserve">Priced-in E_k</t>
  </si>
  <si>
    <t xml:space="preserve">Loadings B (σ per unit surprise), relief r, regime feedback γ</t>
  </si>
  <si>
    <t xml:space="preserve">Asset</t>
  </si>
  <si>
    <t xml:space="preserve">Relief r</t>
  </si>
  <si>
    <t xml:space="preserve">γ (×z10y)</t>
  </si>
  <si>
    <t xml:space="preserve">SPX</t>
  </si>
  <si>
    <t xml:space="preserve">UST10Y</t>
  </si>
  <si>
    <t xml:space="preserve">DXY</t>
  </si>
  <si>
    <t xml:space="preserve">VIX</t>
  </si>
  <si>
    <t xml:space="preserve">Sign threshold |z|</t>
  </si>
  <si>
    <t xml:space="preserve">z above +thr → ↑, below −thr → ↓, otherwise →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</si>
</sst>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;\-0.00;0.00"/>
    <numFmt numFmtId="167" formatCode="0.0%"/>
    <numFmt numFmtId="168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18" min="3" style="0" width="9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customFormat="false" ht="15" hidden="false" customHeight="false" outlineLevel="0" collapsed="false">
      <c r="A5" s="4" t="s">
        <v>3</v>
      </c>
      <c r="B5" s="4"/>
      <c r="C5" s="4" t="s">
        <v>4</v>
      </c>
      <c r="D5" s="4"/>
      <c r="E5" s="4"/>
      <c r="F5" s="4"/>
      <c r="G5" s="4"/>
      <c r="H5" s="4"/>
      <c r="I5" s="4"/>
      <c r="J5" s="4"/>
      <c r="K5" s="4" t="s">
        <v>5</v>
      </c>
      <c r="L5" s="4"/>
      <c r="M5" s="4"/>
      <c r="N5" s="4"/>
      <c r="O5" s="4"/>
      <c r="P5" s="4"/>
      <c r="Q5" s="4"/>
      <c r="R5" s="4"/>
    </row>
    <row r="6" customFormat="false" ht="30" hidden="false" customHeight="true" outlineLevel="0" collapsed="false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15</v>
      </c>
      <c r="K6" s="5" t="s">
        <v>8</v>
      </c>
      <c r="L6" s="5" t="s">
        <v>9</v>
      </c>
      <c r="M6" s="5" t="s">
        <v>10</v>
      </c>
      <c r="N6" s="5" t="s">
        <v>11</v>
      </c>
      <c r="O6" s="5" t="s">
        <v>12</v>
      </c>
      <c r="P6" s="5" t="s">
        <v>13</v>
      </c>
      <c r="Q6" s="5" t="s">
        <v>14</v>
      </c>
      <c r="R6" s="5" t="s">
        <v>15</v>
      </c>
    </row>
    <row r="7" customFormat="false" ht="15" hidden="false" customHeight="false" outlineLevel="0" collapsed="false">
      <c r="A7" s="6" t="n">
        <v>0</v>
      </c>
      <c r="B7" s="7" t="n">
        <v>0</v>
      </c>
      <c r="C7" s="8" t="n">
        <f aca="false">SUMPRODUCT(Model!$B$15:$F$15,Model!$B$7:$F$7-$A7*Model!$B$10:$F$10)+$B7*Model!$G$15+Model!$H$15*E7</f>
        <v>-1.065</v>
      </c>
      <c r="D7" s="9" t="str">
        <f aca="false">IF(C7&gt;Model!$B$21,"↑",IF(C7&lt;-Model!$B$21,"↓","→"))</f>
        <v>↓</v>
      </c>
      <c r="E7" s="8" t="n">
        <f aca="false">SUMPRODUCT(Model!$B$16:$F$16,Model!$B$7:$F$7-$A7*Model!$B$10:$F$10)+$B7*Model!$G$16</f>
        <v>-1.45</v>
      </c>
      <c r="F7" s="9" t="str">
        <f aca="false">IF(E7&gt;Model!$B$21,"↑",IF(E7&lt;-Model!$B$21,"↓","→"))</f>
        <v>↓</v>
      </c>
      <c r="G7" s="8" t="n">
        <f aca="false">SUMPRODUCT(Model!$B$17:$F$17,Model!$B$7:$F$7-$A7*Model!$B$10:$F$10)+$B7*Model!$G$17+Model!$H$17*E7</f>
        <v>0.07</v>
      </c>
      <c r="H7" s="9" t="str">
        <f aca="false">IF(G7&gt;Model!$B$21,"↑",IF(G7&lt;-Model!$B$21,"↓","→"))</f>
        <v>→</v>
      </c>
      <c r="I7" s="8" t="n">
        <f aca="false">SUMPRODUCT(Model!$B$18:$F$18,Model!$B$7:$F$7-$A7*Model!$B$10:$F$10)+$B7*Model!$G$18+Model!$H$18*E7</f>
        <v>0.81</v>
      </c>
      <c r="J7" s="9" t="str">
        <f aca="false">IF(I7&gt;Model!$B$21,"↑",IF(I7&lt;-Model!$B$21,"↓","→"))</f>
        <v>↑</v>
      </c>
      <c r="K7" s="8" t="n">
        <f aca="false">SUMPRODUCT(Model!$B$15:$F$15,Model!$B$6:$F$6-$A7*Model!$B$10:$F$10)+$B7*Model!$G$15+Model!$H$15*M7</f>
        <v>1.19</v>
      </c>
      <c r="L7" s="9" t="str">
        <f aca="false">IF(K7&gt;Model!$B$21,"↑",IF(K7&lt;-Model!$B$21,"↓","→"))</f>
        <v>↑</v>
      </c>
      <c r="M7" s="8" t="n">
        <f aca="false">SUMPRODUCT(Model!$B$16:$F$16,Model!$B$6:$F$6-$A7*Model!$B$10:$F$10)+$B7*Model!$G$16</f>
        <v>3.9</v>
      </c>
      <c r="N7" s="9" t="str">
        <f aca="false">IF(M7&gt;Model!$B$21,"↑",IF(M7&lt;-Model!$B$21,"↓","→"))</f>
        <v>↑</v>
      </c>
      <c r="O7" s="8" t="n">
        <f aca="false">SUMPRODUCT(Model!$B$17:$F$17,Model!$B$6:$F$6-$A7*Model!$B$10:$F$10)+$B7*Model!$G$17+Model!$H$17*M7</f>
        <v>0.3</v>
      </c>
      <c r="P7" s="9" t="str">
        <f aca="false">IF(O7&gt;Model!$B$21,"↑",IF(O7&lt;-Model!$B$21,"↓","→"))</f>
        <v>↑</v>
      </c>
      <c r="Q7" s="8" t="n">
        <f aca="false">SUMPRODUCT(Model!$B$18:$F$18,Model!$B$6:$F$6-$A7*Model!$B$10:$F$10)+$B7*Model!$G$18+Model!$H$18*M7</f>
        <v>0.4</v>
      </c>
      <c r="R7" s="9" t="str">
        <f aca="false">IF(Q7&gt;Model!$B$21,"↑",IF(Q7&lt;-Model!$B$21,"↓","→"))</f>
        <v>↑</v>
      </c>
    </row>
    <row r="8" customFormat="false" ht="15" hidden="false" customHeight="false" outlineLevel="0" collapsed="false">
      <c r="A8" s="10" t="n">
        <v>0</v>
      </c>
      <c r="B8" s="11" t="n">
        <v>1</v>
      </c>
      <c r="C8" s="12" t="n">
        <f aca="false">SUMPRODUCT(Model!$B$15:$F$15,Model!$B$7:$F$7-$A8*Model!$B$10:$F$10)+$B8*Model!$G$15+Model!$H$15*E8</f>
        <v>-0.545</v>
      </c>
      <c r="D8" s="13" t="str">
        <f aca="false">IF(C8&gt;Model!$B$21,"↑",IF(C8&lt;-Model!$B$21,"↓","→"))</f>
        <v>↓</v>
      </c>
      <c r="E8" s="12" t="n">
        <f aca="false">SUMPRODUCT(Model!$B$16:$F$16,Model!$B$7:$F$7-$A8*Model!$B$10:$F$10)+$B8*Model!$G$16</f>
        <v>-1.25</v>
      </c>
      <c r="F8" s="13" t="str">
        <f aca="false">IF(E8&gt;Model!$B$21,"↑",IF(E8&lt;-Model!$B$21,"↓","→"))</f>
        <v>↓</v>
      </c>
      <c r="G8" s="12" t="n">
        <f aca="false">SUMPRODUCT(Model!$B$17:$F$17,Model!$B$7:$F$7-$A8*Model!$B$10:$F$10)+$B8*Model!$G$17+Model!$H$17*E8</f>
        <v>0.07</v>
      </c>
      <c r="H8" s="13" t="str">
        <f aca="false">IF(G8&gt;Model!$B$21,"↑",IF(G8&lt;-Model!$B$21,"↓","→"))</f>
        <v>→</v>
      </c>
      <c r="I8" s="12" t="n">
        <f aca="false">SUMPRODUCT(Model!$B$18:$F$18,Model!$B$7:$F$7-$A8*Model!$B$10:$F$10)+$B8*Model!$G$18+Model!$H$18*E8</f>
        <v>-0.19</v>
      </c>
      <c r="J8" s="13" t="str">
        <f aca="false">IF(I8&gt;Model!$B$21,"↑",IF(I8&lt;-Model!$B$21,"↓","→"))</f>
        <v>→</v>
      </c>
      <c r="K8" s="12" t="n">
        <f aca="false">SUMPRODUCT(Model!$B$15:$F$15,Model!$B$6:$F$6-$A8*Model!$B$10:$F$10)+$B8*Model!$G$15+Model!$H$15*M8</f>
        <v>1.71</v>
      </c>
      <c r="L8" s="13" t="str">
        <f aca="false">IF(K8&gt;Model!$B$21,"↑",IF(K8&lt;-Model!$B$21,"↓","→"))</f>
        <v>↑</v>
      </c>
      <c r="M8" s="12" t="n">
        <f aca="false">SUMPRODUCT(Model!$B$16:$F$16,Model!$B$6:$F$6-$A8*Model!$B$10:$F$10)+$B8*Model!$G$16</f>
        <v>4.1</v>
      </c>
      <c r="N8" s="13" t="str">
        <f aca="false">IF(M8&gt;Model!$B$21,"↑",IF(M8&lt;-Model!$B$21,"↓","→"))</f>
        <v>↑</v>
      </c>
      <c r="O8" s="12" t="n">
        <f aca="false">SUMPRODUCT(Model!$B$17:$F$17,Model!$B$6:$F$6-$A8*Model!$B$10:$F$10)+$B8*Model!$G$17+Model!$H$17*M8</f>
        <v>0.3</v>
      </c>
      <c r="P8" s="13" t="str">
        <f aca="false">IF(O8&gt;Model!$B$21,"↑",IF(O8&lt;-Model!$B$21,"↓","→"))</f>
        <v>↑</v>
      </c>
      <c r="Q8" s="12" t="n">
        <f aca="false">SUMPRODUCT(Model!$B$18:$F$18,Model!$B$6:$F$6-$A8*Model!$B$10:$F$10)+$B8*Model!$G$18+Model!$H$18*M8</f>
        <v>-0.6</v>
      </c>
      <c r="R8" s="13" t="str">
        <f aca="false">IF(Q8&gt;Model!$B$21,"↑",IF(Q8&lt;-Model!$B$21,"↓","→"))</f>
        <v>↓</v>
      </c>
    </row>
    <row r="9" customFormat="false" ht="15" hidden="false" customHeight="false" outlineLevel="0" collapsed="false">
      <c r="A9" s="10" t="n">
        <v>0.25</v>
      </c>
      <c r="B9" s="11" t="n">
        <v>0</v>
      </c>
      <c r="C9" s="12" t="n">
        <f aca="false">SUMPRODUCT(Model!$B$15:$F$15,Model!$B$7:$F$7-$A9*Model!$B$10:$F$10)+$B9*Model!$G$15+Model!$H$15*E9</f>
        <v>-0.893570149253731</v>
      </c>
      <c r="D9" s="13" t="str">
        <f aca="false">IF(C9&gt;Model!$B$21,"↑",IF(C9&lt;-Model!$B$21,"↓","→"))</f>
        <v>↓</v>
      </c>
      <c r="E9" s="12" t="n">
        <f aca="false">SUMPRODUCT(Model!$B$16:$F$16,Model!$B$7:$F$7-$A9*Model!$B$10:$F$10)+$B9*Model!$G$16</f>
        <v>-1.33440796019901</v>
      </c>
      <c r="F9" s="13" t="str">
        <f aca="false">IF(E9&gt;Model!$B$21,"↑",IF(E9&lt;-Model!$B$21,"↓","→"))</f>
        <v>↓</v>
      </c>
      <c r="G9" s="12" t="n">
        <f aca="false">SUMPRODUCT(Model!$B$17:$F$17,Model!$B$7:$F$7-$A9*Model!$B$10:$F$10)+$B9*Model!$G$17+Model!$H$17*E9</f>
        <v>0.0917661691542289</v>
      </c>
      <c r="H9" s="13" t="str">
        <f aca="false">IF(G9&gt;Model!$B$21,"↑",IF(G9&lt;-Model!$B$21,"↓","→"))</f>
        <v>→</v>
      </c>
      <c r="I9" s="12" t="n">
        <f aca="false">SUMPRODUCT(Model!$B$18:$F$18,Model!$B$7:$F$7-$A9*Model!$B$10:$F$10)+$B9*Model!$G$18+Model!$H$18*E9</f>
        <v>0.604507462686567</v>
      </c>
      <c r="J9" s="13" t="str">
        <f aca="false">IF(I9&gt;Model!$B$21,"↑",IF(I9&lt;-Model!$B$21,"↓","→"))</f>
        <v>↑</v>
      </c>
      <c r="K9" s="12" t="n">
        <f aca="false">SUMPRODUCT(Model!$B$15:$F$15,Model!$B$6:$F$6-$A9*Model!$B$10:$F$10)+$B9*Model!$G$15+Model!$H$15*M9</f>
        <v>1.36142985074627</v>
      </c>
      <c r="L9" s="13" t="str">
        <f aca="false">IF(K9&gt;Model!$B$21,"↑",IF(K9&lt;-Model!$B$21,"↓","→"))</f>
        <v>↑</v>
      </c>
      <c r="M9" s="12" t="n">
        <f aca="false">SUMPRODUCT(Model!$B$16:$F$16,Model!$B$6:$F$6-$A9*Model!$B$10:$F$10)+$B9*Model!$G$16</f>
        <v>4.015592039801</v>
      </c>
      <c r="N9" s="13" t="str">
        <f aca="false">IF(M9&gt;Model!$B$21,"↑",IF(M9&lt;-Model!$B$21,"↓","→"))</f>
        <v>↑</v>
      </c>
      <c r="O9" s="12" t="n">
        <f aca="false">SUMPRODUCT(Model!$B$17:$F$17,Model!$B$6:$F$6-$A9*Model!$B$10:$F$10)+$B9*Model!$G$17+Model!$H$17*M9</f>
        <v>0.321766169154229</v>
      </c>
      <c r="P9" s="13" t="str">
        <f aca="false">IF(O9&gt;Model!$B$21,"↑",IF(O9&lt;-Model!$B$21,"↓","→"))</f>
        <v>↑</v>
      </c>
      <c r="Q9" s="12" t="n">
        <f aca="false">SUMPRODUCT(Model!$B$18:$F$18,Model!$B$6:$F$6-$A9*Model!$B$10:$F$10)+$B9*Model!$G$18+Model!$H$18*M9</f>
        <v>0.194507462686567</v>
      </c>
      <c r="R9" s="13" t="str">
        <f aca="false">IF(Q9&gt;Model!$B$21,"↑",IF(Q9&lt;-Model!$B$21,"↓","→"))</f>
        <v>→</v>
      </c>
    </row>
    <row r="10" customFormat="false" ht="15" hidden="false" customHeight="false" outlineLevel="0" collapsed="false">
      <c r="A10" s="10" t="n">
        <v>0.25</v>
      </c>
      <c r="B10" s="11" t="n">
        <v>1</v>
      </c>
      <c r="C10" s="12" t="n">
        <f aca="false">SUMPRODUCT(Model!$B$15:$F$15,Model!$B$7:$F$7-$A10*Model!$B$10:$F$10)+$B10*Model!$G$15+Model!$H$15*E10</f>
        <v>-0.373570149253731</v>
      </c>
      <c r="D10" s="13" t="str">
        <f aca="false">IF(C10&gt;Model!$B$21,"↑",IF(C10&lt;-Model!$B$21,"↓","→"))</f>
        <v>↓</v>
      </c>
      <c r="E10" s="12" t="n">
        <f aca="false">SUMPRODUCT(Model!$B$16:$F$16,Model!$B$7:$F$7-$A10*Model!$B$10:$F$10)+$B10*Model!$G$16</f>
        <v>-1.13440796019901</v>
      </c>
      <c r="F10" s="13" t="str">
        <f aca="false">IF(E10&gt;Model!$B$21,"↑",IF(E10&lt;-Model!$B$21,"↓","→"))</f>
        <v>↓</v>
      </c>
      <c r="G10" s="12" t="n">
        <f aca="false">SUMPRODUCT(Model!$B$17:$F$17,Model!$B$7:$F$7-$A10*Model!$B$10:$F$10)+$B10*Model!$G$17+Model!$H$17*E10</f>
        <v>0.0917661691542289</v>
      </c>
      <c r="H10" s="13" t="str">
        <f aca="false">IF(G10&gt;Model!$B$21,"↑",IF(G10&lt;-Model!$B$21,"↓","→"))</f>
        <v>→</v>
      </c>
      <c r="I10" s="12" t="n">
        <f aca="false">SUMPRODUCT(Model!$B$18:$F$18,Model!$B$7:$F$7-$A10*Model!$B$10:$F$10)+$B10*Model!$G$18+Model!$H$18*E10</f>
        <v>-0.395492537313433</v>
      </c>
      <c r="J10" s="13" t="str">
        <f aca="false">IF(I10&gt;Model!$B$21,"↑",IF(I10&lt;-Model!$B$21,"↓","→"))</f>
        <v>↓</v>
      </c>
      <c r="K10" s="12" t="n">
        <f aca="false">SUMPRODUCT(Model!$B$15:$F$15,Model!$B$6:$F$6-$A10*Model!$B$10:$F$10)+$B10*Model!$G$15+Model!$H$15*M10</f>
        <v>1.88142985074627</v>
      </c>
      <c r="L10" s="13" t="str">
        <f aca="false">IF(K10&gt;Model!$B$21,"↑",IF(K10&lt;-Model!$B$21,"↓","→"))</f>
        <v>↑</v>
      </c>
      <c r="M10" s="12" t="n">
        <f aca="false">SUMPRODUCT(Model!$B$16:$F$16,Model!$B$6:$F$6-$A10*Model!$B$10:$F$10)+$B10*Model!$G$16</f>
        <v>4.215592039801</v>
      </c>
      <c r="N10" s="13" t="str">
        <f aca="false">IF(M10&gt;Model!$B$21,"↑",IF(M10&lt;-Model!$B$21,"↓","→"))</f>
        <v>↑</v>
      </c>
      <c r="O10" s="12" t="n">
        <f aca="false">SUMPRODUCT(Model!$B$17:$F$17,Model!$B$6:$F$6-$A10*Model!$B$10:$F$10)+$B10*Model!$G$17+Model!$H$17*M10</f>
        <v>0.321766169154229</v>
      </c>
      <c r="P10" s="13" t="str">
        <f aca="false">IF(O10&gt;Model!$B$21,"↑",IF(O10&lt;-Model!$B$21,"↓","→"))</f>
        <v>↑</v>
      </c>
      <c r="Q10" s="12" t="n">
        <f aca="false">SUMPRODUCT(Model!$B$18:$F$18,Model!$B$6:$F$6-$A10*Model!$B$10:$F$10)+$B10*Model!$G$18+Model!$H$18*M10</f>
        <v>-0.805492537313433</v>
      </c>
      <c r="R10" s="13" t="str">
        <f aca="false">IF(Q10&gt;Model!$B$21,"↑",IF(Q10&lt;-Model!$B$21,"↓","→"))</f>
        <v>↓</v>
      </c>
    </row>
    <row r="11" customFormat="false" ht="15" hidden="false" customHeight="false" outlineLevel="0" collapsed="false">
      <c r="A11" s="10" t="n">
        <v>0.5</v>
      </c>
      <c r="B11" s="11" t="n">
        <v>0</v>
      </c>
      <c r="C11" s="12" t="n">
        <f aca="false">SUMPRODUCT(Model!$B$15:$F$15,Model!$B$7:$F$7-$A11*Model!$B$10:$F$10)+$B11*Model!$G$15+Model!$H$15*E11</f>
        <v>-0.722140298507463</v>
      </c>
      <c r="D11" s="13" t="str">
        <f aca="false">IF(C11&gt;Model!$B$21,"↑",IF(C11&lt;-Model!$B$21,"↓","→"))</f>
        <v>↓</v>
      </c>
      <c r="E11" s="12" t="n">
        <f aca="false">SUMPRODUCT(Model!$B$16:$F$16,Model!$B$7:$F$7-$A11*Model!$B$10:$F$10)+$B11*Model!$G$16</f>
        <v>-1.21881592039801</v>
      </c>
      <c r="F11" s="13" t="str">
        <f aca="false">IF(E11&gt;Model!$B$21,"↑",IF(E11&lt;-Model!$B$21,"↓","→"))</f>
        <v>↓</v>
      </c>
      <c r="G11" s="12" t="n">
        <f aca="false">SUMPRODUCT(Model!$B$17:$F$17,Model!$B$7:$F$7-$A11*Model!$B$10:$F$10)+$B11*Model!$G$17+Model!$H$17*E11</f>
        <v>0.113532338308458</v>
      </c>
      <c r="H11" s="13" t="str">
        <f aca="false">IF(G11&gt;Model!$B$21,"↑",IF(G11&lt;-Model!$B$21,"↓","→"))</f>
        <v>→</v>
      </c>
      <c r="I11" s="12" t="n">
        <f aca="false">SUMPRODUCT(Model!$B$18:$F$18,Model!$B$7:$F$7-$A11*Model!$B$10:$F$10)+$B11*Model!$G$18+Model!$H$18*E11</f>
        <v>0.399014925373134</v>
      </c>
      <c r="J11" s="13" t="str">
        <f aca="false">IF(I11&gt;Model!$B$21,"↑",IF(I11&lt;-Model!$B$21,"↓","→"))</f>
        <v>↑</v>
      </c>
      <c r="K11" s="12" t="n">
        <f aca="false">SUMPRODUCT(Model!$B$15:$F$15,Model!$B$6:$F$6-$A11*Model!$B$10:$F$10)+$B11*Model!$G$15+Model!$H$15*M11</f>
        <v>1.53285970149254</v>
      </c>
      <c r="L11" s="13" t="str">
        <f aca="false">IF(K11&gt;Model!$B$21,"↑",IF(K11&lt;-Model!$B$21,"↓","→"))</f>
        <v>↑</v>
      </c>
      <c r="M11" s="12" t="n">
        <f aca="false">SUMPRODUCT(Model!$B$16:$F$16,Model!$B$6:$F$6-$A11*Model!$B$10:$F$10)+$B11*Model!$G$16</f>
        <v>4.13118407960199</v>
      </c>
      <c r="N11" s="13" t="str">
        <f aca="false">IF(M11&gt;Model!$B$21,"↑",IF(M11&lt;-Model!$B$21,"↓","→"))</f>
        <v>↑</v>
      </c>
      <c r="O11" s="12" t="n">
        <f aca="false">SUMPRODUCT(Model!$B$17:$F$17,Model!$B$6:$F$6-$A11*Model!$B$10:$F$10)+$B11*Model!$G$17+Model!$H$17*M11</f>
        <v>0.343532338308458</v>
      </c>
      <c r="P11" s="13" t="str">
        <f aca="false">IF(O11&gt;Model!$B$21,"↑",IF(O11&lt;-Model!$B$21,"↓","→"))</f>
        <v>↑</v>
      </c>
      <c r="Q11" s="12" t="n">
        <f aca="false">SUMPRODUCT(Model!$B$18:$F$18,Model!$B$6:$F$6-$A11*Model!$B$10:$F$10)+$B11*Model!$G$18+Model!$H$18*M11</f>
        <v>-0.0109850746268657</v>
      </c>
      <c r="R11" s="13" t="str">
        <f aca="false">IF(Q11&gt;Model!$B$21,"↑",IF(Q11&lt;-Model!$B$21,"↓","→"))</f>
        <v>→</v>
      </c>
    </row>
    <row r="12" customFormat="false" ht="15" hidden="false" customHeight="false" outlineLevel="0" collapsed="false">
      <c r="A12" s="10" t="n">
        <v>0.5</v>
      </c>
      <c r="B12" s="11" t="n">
        <v>1</v>
      </c>
      <c r="C12" s="12" t="n">
        <f aca="false">SUMPRODUCT(Model!$B$15:$F$15,Model!$B$7:$F$7-$A12*Model!$B$10:$F$10)+$B12*Model!$G$15+Model!$H$15*E12</f>
        <v>-0.202140298507463</v>
      </c>
      <c r="D12" s="13" t="str">
        <f aca="false">IF(C12&gt;Model!$B$21,"↑",IF(C12&lt;-Model!$B$21,"↓","→"))</f>
        <v>→</v>
      </c>
      <c r="E12" s="12" t="n">
        <f aca="false">SUMPRODUCT(Model!$B$16:$F$16,Model!$B$7:$F$7-$A12*Model!$B$10:$F$10)+$B12*Model!$G$16</f>
        <v>-1.01881592039801</v>
      </c>
      <c r="F12" s="13" t="str">
        <f aca="false">IF(E12&gt;Model!$B$21,"↑",IF(E12&lt;-Model!$B$21,"↓","→"))</f>
        <v>↓</v>
      </c>
      <c r="G12" s="12" t="n">
        <f aca="false">SUMPRODUCT(Model!$B$17:$F$17,Model!$B$7:$F$7-$A12*Model!$B$10:$F$10)+$B12*Model!$G$17+Model!$H$17*E12</f>
        <v>0.113532338308458</v>
      </c>
      <c r="H12" s="13" t="str">
        <f aca="false">IF(G12&gt;Model!$B$21,"↑",IF(G12&lt;-Model!$B$21,"↓","→"))</f>
        <v>→</v>
      </c>
      <c r="I12" s="12" t="n">
        <f aca="false">SUMPRODUCT(Model!$B$18:$F$18,Model!$B$7:$F$7-$A12*Model!$B$10:$F$10)+$B12*Model!$G$18+Model!$H$18*E12</f>
        <v>-0.600985074626866</v>
      </c>
      <c r="J12" s="13" t="str">
        <f aca="false">IF(I12&gt;Model!$B$21,"↑",IF(I12&lt;-Model!$B$21,"↓","→"))</f>
        <v>↓</v>
      </c>
      <c r="K12" s="12" t="n">
        <f aca="false">SUMPRODUCT(Model!$B$15:$F$15,Model!$B$6:$F$6-$A12*Model!$B$10:$F$10)+$B12*Model!$G$15+Model!$H$15*M12</f>
        <v>2.05285970149254</v>
      </c>
      <c r="L12" s="13" t="str">
        <f aca="false">IF(K12&gt;Model!$B$21,"↑",IF(K12&lt;-Model!$B$21,"↓","→"))</f>
        <v>↑</v>
      </c>
      <c r="M12" s="12" t="n">
        <f aca="false">SUMPRODUCT(Model!$B$16:$F$16,Model!$B$6:$F$6-$A12*Model!$B$10:$F$10)+$B12*Model!$G$16</f>
        <v>4.33118407960199</v>
      </c>
      <c r="N12" s="13" t="str">
        <f aca="false">IF(M12&gt;Model!$B$21,"↑",IF(M12&lt;-Model!$B$21,"↓","→"))</f>
        <v>↑</v>
      </c>
      <c r="O12" s="12" t="n">
        <f aca="false">SUMPRODUCT(Model!$B$17:$F$17,Model!$B$6:$F$6-$A12*Model!$B$10:$F$10)+$B12*Model!$G$17+Model!$H$17*M12</f>
        <v>0.343532338308458</v>
      </c>
      <c r="P12" s="13" t="str">
        <f aca="false">IF(O12&gt;Model!$B$21,"↑",IF(O12&lt;-Model!$B$21,"↓","→"))</f>
        <v>↑</v>
      </c>
      <c r="Q12" s="12" t="n">
        <f aca="false">SUMPRODUCT(Model!$B$18:$F$18,Model!$B$6:$F$6-$A12*Model!$B$10:$F$10)+$B12*Model!$G$18+Model!$H$18*M12</f>
        <v>-1.01098507462687</v>
      </c>
      <c r="R12" s="13" t="str">
        <f aca="false">IF(Q12&gt;Model!$B$21,"↑",IF(Q12&lt;-Model!$B$21,"↓","→"))</f>
        <v>↓</v>
      </c>
    </row>
    <row r="13" customFormat="false" ht="15" hidden="false" customHeight="false" outlineLevel="0" collapsed="false">
      <c r="A13" s="10" t="n">
        <v>0.75</v>
      </c>
      <c r="B13" s="11" t="n">
        <v>0</v>
      </c>
      <c r="C13" s="12" t="n">
        <f aca="false">SUMPRODUCT(Model!$B$15:$F$15,Model!$B$7:$F$7-$A13*Model!$B$10:$F$10)+$B13*Model!$G$15+Model!$H$15*E13</f>
        <v>-0.550710447761194</v>
      </c>
      <c r="D13" s="13" t="str">
        <f aca="false">IF(C13&gt;Model!$B$21,"↑",IF(C13&lt;-Model!$B$21,"↓","→"))</f>
        <v>↓</v>
      </c>
      <c r="E13" s="12" t="n">
        <f aca="false">SUMPRODUCT(Model!$B$16:$F$16,Model!$B$7:$F$7-$A13*Model!$B$10:$F$10)+$B13*Model!$G$16</f>
        <v>-1.10322388059702</v>
      </c>
      <c r="F13" s="13" t="str">
        <f aca="false">IF(E13&gt;Model!$B$21,"↑",IF(E13&lt;-Model!$B$21,"↓","→"))</f>
        <v>↓</v>
      </c>
      <c r="G13" s="12" t="n">
        <f aca="false">SUMPRODUCT(Model!$B$17:$F$17,Model!$B$7:$F$7-$A13*Model!$B$10:$F$10)+$B13*Model!$G$17+Model!$H$17*E13</f>
        <v>0.135298507462687</v>
      </c>
      <c r="H13" s="13" t="str">
        <f aca="false">IF(G13&gt;Model!$B$21,"↑",IF(G13&lt;-Model!$B$21,"↓","→"))</f>
        <v>→</v>
      </c>
      <c r="I13" s="12" t="n">
        <f aca="false">SUMPRODUCT(Model!$B$18:$F$18,Model!$B$7:$F$7-$A13*Model!$B$10:$F$10)+$B13*Model!$G$18+Model!$H$18*E13</f>
        <v>0.193522388059701</v>
      </c>
      <c r="J13" s="13" t="str">
        <f aca="false">IF(I13&gt;Model!$B$21,"↑",IF(I13&lt;-Model!$B$21,"↓","→"))</f>
        <v>→</v>
      </c>
      <c r="K13" s="12" t="n">
        <f aca="false">SUMPRODUCT(Model!$B$15:$F$15,Model!$B$6:$F$6-$A13*Model!$B$10:$F$10)+$B13*Model!$G$15+Model!$H$15*M13</f>
        <v>1.70428955223881</v>
      </c>
      <c r="L13" s="13" t="str">
        <f aca="false">IF(K13&gt;Model!$B$21,"↑",IF(K13&lt;-Model!$B$21,"↓","→"))</f>
        <v>↑</v>
      </c>
      <c r="M13" s="12" t="n">
        <f aca="false">SUMPRODUCT(Model!$B$16:$F$16,Model!$B$6:$F$6-$A13*Model!$B$10:$F$10)+$B13*Model!$G$16</f>
        <v>4.24677611940299</v>
      </c>
      <c r="N13" s="13" t="str">
        <f aca="false">IF(M13&gt;Model!$B$21,"↑",IF(M13&lt;-Model!$B$21,"↓","→"))</f>
        <v>↑</v>
      </c>
      <c r="O13" s="12" t="n">
        <f aca="false">SUMPRODUCT(Model!$B$17:$F$17,Model!$B$6:$F$6-$A13*Model!$B$10:$F$10)+$B13*Model!$G$17+Model!$H$17*M13</f>
        <v>0.365298507462687</v>
      </c>
      <c r="P13" s="13" t="str">
        <f aca="false">IF(O13&gt;Model!$B$21,"↑",IF(O13&lt;-Model!$B$21,"↓","→"))</f>
        <v>↑</v>
      </c>
      <c r="Q13" s="12" t="n">
        <f aca="false">SUMPRODUCT(Model!$B$18:$F$18,Model!$B$6:$F$6-$A13*Model!$B$10:$F$10)+$B13*Model!$G$18+Model!$H$18*M13</f>
        <v>-0.216477611940299</v>
      </c>
      <c r="R13" s="13" t="str">
        <f aca="false">IF(Q13&gt;Model!$B$21,"↑",IF(Q13&lt;-Model!$B$21,"↓","→"))</f>
        <v>→</v>
      </c>
    </row>
    <row r="14" customFormat="false" ht="15" hidden="false" customHeight="false" outlineLevel="0" collapsed="false">
      <c r="A14" s="6" t="n">
        <v>0.75</v>
      </c>
      <c r="B14" s="7" t="n">
        <v>1</v>
      </c>
      <c r="C14" s="8" t="n">
        <f aca="false">SUMPRODUCT(Model!$B$15:$F$15,Model!$B$7:$F$7-$A14*Model!$B$10:$F$10)+$B14*Model!$G$15+Model!$H$15*E14</f>
        <v>-0.030710447761194</v>
      </c>
      <c r="D14" s="9" t="str">
        <f aca="false">IF(C14&gt;Model!$B$21,"↑",IF(C14&lt;-Model!$B$21,"↓","→"))</f>
        <v>→</v>
      </c>
      <c r="E14" s="8" t="n">
        <f aca="false">SUMPRODUCT(Model!$B$16:$F$16,Model!$B$7:$F$7-$A14*Model!$B$10:$F$10)+$B14*Model!$G$16</f>
        <v>-0.903223880597015</v>
      </c>
      <c r="F14" s="9" t="str">
        <f aca="false">IF(E14&gt;Model!$B$21,"↑",IF(E14&lt;-Model!$B$21,"↓","→"))</f>
        <v>↓</v>
      </c>
      <c r="G14" s="8" t="n">
        <f aca="false">SUMPRODUCT(Model!$B$17:$F$17,Model!$B$7:$F$7-$A14*Model!$B$10:$F$10)+$B14*Model!$G$17+Model!$H$17*E14</f>
        <v>0.135298507462687</v>
      </c>
      <c r="H14" s="9" t="str">
        <f aca="false">IF(G14&gt;Model!$B$21,"↑",IF(G14&lt;-Model!$B$21,"↓","→"))</f>
        <v>→</v>
      </c>
      <c r="I14" s="8" t="n">
        <f aca="false">SUMPRODUCT(Model!$B$18:$F$18,Model!$B$7:$F$7-$A14*Model!$B$10:$F$10)+$B14*Model!$G$18+Model!$H$18*E14</f>
        <v>-0.806477611940299</v>
      </c>
      <c r="J14" s="9" t="str">
        <f aca="false">IF(I14&gt;Model!$B$21,"↑",IF(I14&lt;-Model!$B$21,"↓","→"))</f>
        <v>↓</v>
      </c>
      <c r="K14" s="8" t="n">
        <f aca="false">SUMPRODUCT(Model!$B$15:$F$15,Model!$B$6:$F$6-$A14*Model!$B$10:$F$10)+$B14*Model!$G$15+Model!$H$15*M14</f>
        <v>2.22428955223881</v>
      </c>
      <c r="L14" s="9" t="str">
        <f aca="false">IF(K14&gt;Model!$B$21,"↑",IF(K14&lt;-Model!$B$21,"↓","→"))</f>
        <v>↑</v>
      </c>
      <c r="M14" s="8" t="n">
        <f aca="false">SUMPRODUCT(Model!$B$16:$F$16,Model!$B$6:$F$6-$A14*Model!$B$10:$F$10)+$B14*Model!$G$16</f>
        <v>4.44677611940299</v>
      </c>
      <c r="N14" s="9" t="str">
        <f aca="false">IF(M14&gt;Model!$B$21,"↑",IF(M14&lt;-Model!$B$21,"↓","→"))</f>
        <v>↑</v>
      </c>
      <c r="O14" s="8" t="n">
        <f aca="false">SUMPRODUCT(Model!$B$17:$F$17,Model!$B$6:$F$6-$A14*Model!$B$10:$F$10)+$B14*Model!$G$17+Model!$H$17*M14</f>
        <v>0.365298507462687</v>
      </c>
      <c r="P14" s="9" t="str">
        <f aca="false">IF(O14&gt;Model!$B$21,"↑",IF(O14&lt;-Model!$B$21,"↓","→"))</f>
        <v>↑</v>
      </c>
      <c r="Q14" s="8" t="n">
        <f aca="false">SUMPRODUCT(Model!$B$18:$F$18,Model!$B$6:$F$6-$A14*Model!$B$10:$F$10)+$B14*Model!$G$18+Model!$H$18*M14</f>
        <v>-1.2164776119403</v>
      </c>
      <c r="R14" s="9" t="str">
        <f aca="false">IF(Q14&gt;Model!$B$21,"↑",IF(Q14&lt;-Model!$B$21,"↓","→"))</f>
        <v>↓</v>
      </c>
    </row>
    <row r="15" customFormat="false" ht="15" hidden="false" customHeight="false" outlineLevel="0" collapsed="false">
      <c r="A15" s="10" t="n">
        <v>1</v>
      </c>
      <c r="B15" s="11" t="n">
        <v>0</v>
      </c>
      <c r="C15" s="12" t="n">
        <f aca="false">SUMPRODUCT(Model!$B$15:$F$15,Model!$B$7:$F$7-$A15*Model!$B$10:$F$10)+$B15*Model!$G$15+Model!$H$15*E15</f>
        <v>-0.379280597014925</v>
      </c>
      <c r="D15" s="13" t="str">
        <f aca="false">IF(C15&gt;Model!$B$21,"↑",IF(C15&lt;-Model!$B$21,"↓","→"))</f>
        <v>↓</v>
      </c>
      <c r="E15" s="12" t="n">
        <f aca="false">SUMPRODUCT(Model!$B$16:$F$16,Model!$B$7:$F$7-$A15*Model!$B$10:$F$10)+$B15*Model!$G$16</f>
        <v>-0.98763184079602</v>
      </c>
      <c r="F15" s="13" t="str">
        <f aca="false">IF(E15&gt;Model!$B$21,"↑",IF(E15&lt;-Model!$B$21,"↓","→"))</f>
        <v>↓</v>
      </c>
      <c r="G15" s="12" t="n">
        <f aca="false">SUMPRODUCT(Model!$B$17:$F$17,Model!$B$7:$F$7-$A15*Model!$B$10:$F$10)+$B15*Model!$G$17+Model!$H$17*E15</f>
        <v>0.157064676616915</v>
      </c>
      <c r="H15" s="13" t="str">
        <f aca="false">IF(G15&gt;Model!$B$21,"↑",IF(G15&lt;-Model!$B$21,"↓","→"))</f>
        <v>→</v>
      </c>
      <c r="I15" s="12" t="n">
        <f aca="false">SUMPRODUCT(Model!$B$18:$F$18,Model!$B$7:$F$7-$A15*Model!$B$10:$F$10)+$B15*Model!$G$18+Model!$H$18*E15</f>
        <v>-0.0119701492537314</v>
      </c>
      <c r="J15" s="13" t="str">
        <f aca="false">IF(I15&gt;Model!$B$21,"↑",IF(I15&lt;-Model!$B$21,"↓","→"))</f>
        <v>→</v>
      </c>
      <c r="K15" s="12" t="n">
        <f aca="false">SUMPRODUCT(Model!$B$15:$F$15,Model!$B$6:$F$6-$A15*Model!$B$10:$F$10)+$B15*Model!$G$15+Model!$H$15*M15</f>
        <v>1.87571940298507</v>
      </c>
      <c r="L15" s="13" t="str">
        <f aca="false">IF(K15&gt;Model!$B$21,"↑",IF(K15&lt;-Model!$B$21,"↓","→"))</f>
        <v>↑</v>
      </c>
      <c r="M15" s="12" t="n">
        <f aca="false">SUMPRODUCT(Model!$B$16:$F$16,Model!$B$6:$F$6-$A15*Model!$B$10:$F$10)+$B15*Model!$G$16</f>
        <v>4.36236815920398</v>
      </c>
      <c r="N15" s="13" t="str">
        <f aca="false">IF(M15&gt;Model!$B$21,"↑",IF(M15&lt;-Model!$B$21,"↓","→"))</f>
        <v>↑</v>
      </c>
      <c r="O15" s="12" t="n">
        <f aca="false">SUMPRODUCT(Model!$B$17:$F$17,Model!$B$6:$F$6-$A15*Model!$B$10:$F$10)+$B15*Model!$G$17+Model!$H$17*M15</f>
        <v>0.387064676616915</v>
      </c>
      <c r="P15" s="13" t="str">
        <f aca="false">IF(O15&gt;Model!$B$21,"↑",IF(O15&lt;-Model!$B$21,"↓","→"))</f>
        <v>↑</v>
      </c>
      <c r="Q15" s="12" t="n">
        <f aca="false">SUMPRODUCT(Model!$B$18:$F$18,Model!$B$6:$F$6-$A15*Model!$B$10:$F$10)+$B15*Model!$G$18+Model!$H$18*M15</f>
        <v>-0.421970149253732</v>
      </c>
      <c r="R15" s="13" t="str">
        <f aca="false">IF(Q15&gt;Model!$B$21,"↑",IF(Q15&lt;-Model!$B$21,"↓","→"))</f>
        <v>↓</v>
      </c>
    </row>
    <row r="16" customFormat="false" ht="15" hidden="false" customHeight="false" outlineLevel="0" collapsed="false">
      <c r="A16" s="10" t="n">
        <v>1</v>
      </c>
      <c r="B16" s="11" t="n">
        <v>1</v>
      </c>
      <c r="C16" s="12" t="n">
        <f aca="false">SUMPRODUCT(Model!$B$15:$F$15,Model!$B$7:$F$7-$A16*Model!$B$10:$F$10)+$B16*Model!$G$15+Model!$H$15*E16</f>
        <v>0.140719402985075</v>
      </c>
      <c r="D16" s="13" t="str">
        <f aca="false">IF(C16&gt;Model!$B$21,"↑",IF(C16&lt;-Model!$B$21,"↓","→"))</f>
        <v>→</v>
      </c>
      <c r="E16" s="12" t="n">
        <f aca="false">SUMPRODUCT(Model!$B$16:$F$16,Model!$B$7:$F$7-$A16*Model!$B$10:$F$10)+$B16*Model!$G$16</f>
        <v>-0.78763184079602</v>
      </c>
      <c r="F16" s="13" t="str">
        <f aca="false">IF(E16&gt;Model!$B$21,"↑",IF(E16&lt;-Model!$B$21,"↓","→"))</f>
        <v>↓</v>
      </c>
      <c r="G16" s="12" t="n">
        <f aca="false">SUMPRODUCT(Model!$B$17:$F$17,Model!$B$7:$F$7-$A16*Model!$B$10:$F$10)+$B16*Model!$G$17+Model!$H$17*E16</f>
        <v>0.157064676616915</v>
      </c>
      <c r="H16" s="13" t="str">
        <f aca="false">IF(G16&gt;Model!$B$21,"↑",IF(G16&lt;-Model!$B$21,"↓","→"))</f>
        <v>→</v>
      </c>
      <c r="I16" s="12" t="n">
        <f aca="false">SUMPRODUCT(Model!$B$18:$F$18,Model!$B$7:$F$7-$A16*Model!$B$10:$F$10)+$B16*Model!$G$18+Model!$H$18*E16</f>
        <v>-1.01197014925373</v>
      </c>
      <c r="J16" s="13" t="str">
        <f aca="false">IF(I16&gt;Model!$B$21,"↑",IF(I16&lt;-Model!$B$21,"↓","→"))</f>
        <v>↓</v>
      </c>
      <c r="K16" s="12" t="n">
        <f aca="false">SUMPRODUCT(Model!$B$15:$F$15,Model!$B$6:$F$6-$A16*Model!$B$10:$F$10)+$B16*Model!$G$15+Model!$H$15*M16</f>
        <v>2.39571940298507</v>
      </c>
      <c r="L16" s="13" t="str">
        <f aca="false">IF(K16&gt;Model!$B$21,"↑",IF(K16&lt;-Model!$B$21,"↓","→"))</f>
        <v>↑</v>
      </c>
      <c r="M16" s="12" t="n">
        <f aca="false">SUMPRODUCT(Model!$B$16:$F$16,Model!$B$6:$F$6-$A16*Model!$B$10:$F$10)+$B16*Model!$G$16</f>
        <v>4.56236815920398</v>
      </c>
      <c r="N16" s="13" t="str">
        <f aca="false">IF(M16&gt;Model!$B$21,"↑",IF(M16&lt;-Model!$B$21,"↓","→"))</f>
        <v>↑</v>
      </c>
      <c r="O16" s="12" t="n">
        <f aca="false">SUMPRODUCT(Model!$B$17:$F$17,Model!$B$6:$F$6-$A16*Model!$B$10:$F$10)+$B16*Model!$G$17+Model!$H$17*M16</f>
        <v>0.387064676616915</v>
      </c>
      <c r="P16" s="13" t="str">
        <f aca="false">IF(O16&gt;Model!$B$21,"↑",IF(O16&lt;-Model!$B$21,"↓","→"))</f>
        <v>↑</v>
      </c>
      <c r="Q16" s="12" t="n">
        <f aca="false">SUMPRODUCT(Model!$B$18:$F$18,Model!$B$6:$F$6-$A16*Model!$B$10:$F$10)+$B16*Model!$G$18+Model!$H$18*M16</f>
        <v>-1.42197014925373</v>
      </c>
      <c r="R16" s="13" t="str">
        <f aca="false">IF(Q16&gt;Model!$B$21,"↑",IF(Q16&lt;-Model!$B$21,"↓","→"))</f>
        <v>↓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customFormat="false" ht="15" hidden="false" customHeight="false" outlineLevel="0" collapsed="false">
      <c r="A18" s="14" t="s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customFormat="false" ht="15" hidden="false" customHeight="false" outlineLevel="0" collapsed="false">
      <c r="A19" s="2" t="s"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customFormat="false" ht="15" hidden="false" customHeight="false" outlineLevel="0" collapsed="false">
      <c r="A21" s="14" t="s"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customFormat="false" ht="15" hidden="false" customHeight="false" outlineLevel="0" collapsed="false">
      <c r="A22" s="2" t="s"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customFormat="false" ht="15" hidden="false" customHeight="false" outlineLevel="0" collapsed="false">
      <c r="A23" s="2" t="s"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customFormat="false" ht="15" hidden="false" customHeight="false" outlineLevel="0" collapsed="false">
      <c r="A24" s="2" t="s"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customFormat="false" ht="15" hidden="false" customHeight="false" outlineLevel="0" collapsed="false">
      <c r="A25" s="2" t="s"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customFormat="false" ht="15" hidden="false" customHeight="false" outlineLevel="0" collapsed="false">
      <c r="A26" s="2" t="s"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</sheetData>
  <mergeCells count="3">
    <mergeCell ref="A5:B5"/>
    <mergeCell ref="C5:J5"/>
    <mergeCell ref="K5:R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0"/>
    <col collapsed="false" customWidth="true" hidden="false" outlineLevel="0" max="7" min="7" style="0" width="12"/>
    <col collapsed="false" customWidth="true" hidden="false" outlineLevel="0" max="8" min="8" style="0" width="13"/>
  </cols>
  <sheetData>
    <row r="1" customFormat="false" ht="15" hidden="false" customHeight="false" outlineLevel="0" collapsed="false">
      <c r="A1" s="1" t="s">
        <v>24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25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14" t="s">
        <v>26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15" t="s">
        <v>27</v>
      </c>
      <c r="B5" s="15" t="s">
        <v>28</v>
      </c>
      <c r="C5" s="15" t="s">
        <v>29</v>
      </c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</row>
    <row r="6" customFormat="false" ht="15" hidden="false" customHeight="false" outlineLevel="0" collapsed="false">
      <c r="A6" s="16" t="s">
        <v>35</v>
      </c>
      <c r="B6" s="17" t="n">
        <v>1</v>
      </c>
      <c r="C6" s="17" t="n">
        <v>1</v>
      </c>
      <c r="D6" s="17" t="n">
        <v>1</v>
      </c>
      <c r="E6" s="17" t="n">
        <v>0</v>
      </c>
      <c r="F6" s="17" t="n">
        <v>1</v>
      </c>
      <c r="G6" s="18" t="n">
        <v>0.077</v>
      </c>
      <c r="H6" s="19" t="n">
        <f aca="false">G6/SUM($G$6:$G$9)</f>
        <v>0.0766169154228856</v>
      </c>
    </row>
    <row r="7" customFormat="false" ht="15" hidden="false" customHeight="false" outlineLevel="0" collapsed="false">
      <c r="A7" s="16" t="s">
        <v>36</v>
      </c>
      <c r="B7" s="17" t="n">
        <v>-0.2</v>
      </c>
      <c r="C7" s="17" t="n">
        <v>-0.1</v>
      </c>
      <c r="D7" s="17" t="n">
        <v>-0.6</v>
      </c>
      <c r="E7" s="17" t="n">
        <v>1</v>
      </c>
      <c r="F7" s="17" t="n">
        <v>-0.4</v>
      </c>
      <c r="G7" s="18" t="n">
        <v>0.61</v>
      </c>
      <c r="H7" s="19" t="n">
        <f aca="false">G7/SUM($G$6:$G$9)</f>
        <v>0.606965174129353</v>
      </c>
    </row>
    <row r="8" customFormat="false" ht="15" hidden="false" customHeight="false" outlineLevel="0" collapsed="false">
      <c r="A8" s="16" t="s">
        <v>37</v>
      </c>
      <c r="B8" s="17" t="n">
        <v>0</v>
      </c>
      <c r="C8" s="17" t="n">
        <v>0.2</v>
      </c>
      <c r="D8" s="17" t="n">
        <v>-0.6</v>
      </c>
      <c r="E8" s="17" t="n">
        <v>0.4</v>
      </c>
      <c r="F8" s="17" t="n">
        <v>0.2</v>
      </c>
      <c r="G8" s="18" t="n">
        <v>0.008</v>
      </c>
      <c r="H8" s="19" t="n">
        <f aca="false">G8/SUM($G$6:$G$9)</f>
        <v>0.00796019900497513</v>
      </c>
    </row>
    <row r="9" customFormat="false" ht="15" hidden="false" customHeight="false" outlineLevel="0" collapsed="false">
      <c r="A9" s="16" t="s">
        <v>38</v>
      </c>
      <c r="B9" s="17" t="n">
        <v>0</v>
      </c>
      <c r="C9" s="17" t="n">
        <v>0.3</v>
      </c>
      <c r="D9" s="17" t="n">
        <v>0.5</v>
      </c>
      <c r="E9" s="17" t="n">
        <v>0.6</v>
      </c>
      <c r="F9" s="17" t="n">
        <v>0.2</v>
      </c>
      <c r="G9" s="18" t="n">
        <v>0.31</v>
      </c>
      <c r="H9" s="19" t="n">
        <f aca="false">G9/SUM($G$6:$G$9)</f>
        <v>0.308457711442786</v>
      </c>
    </row>
    <row r="10" customFormat="false" ht="15" hidden="false" customHeight="false" outlineLevel="0" collapsed="false">
      <c r="A10" s="14" t="s">
        <v>39</v>
      </c>
      <c r="B10" s="20" t="n">
        <f aca="false">SUMPRODUCT($H$6:$H$9,B6:B9)</f>
        <v>-0.0447761194029851</v>
      </c>
      <c r="C10" s="20" t="n">
        <f aca="false">SUMPRODUCT($H$6:$H$9,C6:C9)</f>
        <v>0.110049751243781</v>
      </c>
      <c r="D10" s="20" t="n">
        <f aca="false">SUMPRODUCT($H$6:$H$9,D6:D9)</f>
        <v>-0.138109452736318</v>
      </c>
      <c r="E10" s="20" t="n">
        <f aca="false">SUMPRODUCT($H$6:$H$9,E6:E9)</f>
        <v>0.795223880597015</v>
      </c>
      <c r="F10" s="20" t="n">
        <f aca="false">SUMPRODUCT($H$6:$H$9,F6:F9)</f>
        <v>-0.102885572139304</v>
      </c>
      <c r="G10" s="2"/>
      <c r="H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14" t="s">
        <v>40</v>
      </c>
      <c r="B13" s="2"/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15" t="s">
        <v>41</v>
      </c>
      <c r="B14" s="15" t="s">
        <v>28</v>
      </c>
      <c r="C14" s="15" t="s">
        <v>29</v>
      </c>
      <c r="D14" s="15" t="s">
        <v>30</v>
      </c>
      <c r="E14" s="15" t="s">
        <v>31</v>
      </c>
      <c r="F14" s="15" t="s">
        <v>32</v>
      </c>
      <c r="G14" s="15" t="s">
        <v>42</v>
      </c>
      <c r="H14" s="15" t="s">
        <v>43</v>
      </c>
    </row>
    <row r="15" customFormat="false" ht="15" hidden="false" customHeight="false" outlineLevel="0" collapsed="false">
      <c r="A15" s="16" t="s">
        <v>44</v>
      </c>
      <c r="B15" s="17" t="n">
        <v>0.7</v>
      </c>
      <c r="C15" s="17" t="n">
        <v>-0.6</v>
      </c>
      <c r="D15" s="17" t="n">
        <v>-0.2</v>
      </c>
      <c r="E15" s="17" t="n">
        <v>-0.6</v>
      </c>
      <c r="F15" s="17" t="n">
        <v>0.9</v>
      </c>
      <c r="G15" s="17" t="n">
        <v>0.5</v>
      </c>
      <c r="H15" s="17" t="n">
        <v>0.1</v>
      </c>
    </row>
    <row r="16" customFormat="false" ht="15" hidden="false" customHeight="false" outlineLevel="0" collapsed="false">
      <c r="A16" s="16" t="s">
        <v>45</v>
      </c>
      <c r="B16" s="17" t="n">
        <v>2.5</v>
      </c>
      <c r="C16" s="17" t="n">
        <v>0.3</v>
      </c>
      <c r="D16" s="17" t="n">
        <v>0.9</v>
      </c>
      <c r="E16" s="17" t="n">
        <v>-0.3</v>
      </c>
      <c r="F16" s="17" t="n">
        <v>0.2</v>
      </c>
      <c r="G16" s="17" t="n">
        <v>0.2</v>
      </c>
      <c r="H16" s="17" t="n">
        <v>0</v>
      </c>
    </row>
    <row r="17" customFormat="false" ht="15" hidden="false" customHeight="false" outlineLevel="0" collapsed="false">
      <c r="A17" s="16" t="s">
        <v>46</v>
      </c>
      <c r="B17" s="17" t="n">
        <v>0.7</v>
      </c>
      <c r="C17" s="17" t="n">
        <v>0.5</v>
      </c>
      <c r="D17" s="17" t="n">
        <v>-1</v>
      </c>
      <c r="E17" s="17" t="n">
        <v>-0.3</v>
      </c>
      <c r="F17" s="17" t="n">
        <v>0.1</v>
      </c>
      <c r="G17" s="17" t="n">
        <v>0</v>
      </c>
      <c r="H17" s="17" t="n">
        <v>0</v>
      </c>
    </row>
    <row r="18" customFormat="false" ht="15" hidden="false" customHeight="false" outlineLevel="0" collapsed="false">
      <c r="A18" s="16" t="s">
        <v>47</v>
      </c>
      <c r="B18" s="17" t="n">
        <v>-0.3</v>
      </c>
      <c r="C18" s="17" t="n">
        <v>0.5</v>
      </c>
      <c r="D18" s="17" t="n">
        <v>0.6</v>
      </c>
      <c r="E18" s="17" t="n">
        <v>1</v>
      </c>
      <c r="F18" s="17" t="n">
        <v>-0.4</v>
      </c>
      <c r="G18" s="17" t="n">
        <v>-1</v>
      </c>
      <c r="H18" s="17" t="n">
        <v>0</v>
      </c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</row>
    <row r="21" customFormat="false" ht="15" hidden="false" customHeight="false" outlineLevel="0" collapsed="false">
      <c r="A21" s="14" t="s">
        <v>48</v>
      </c>
      <c r="B21" s="21" t="n">
        <v>0.25</v>
      </c>
      <c r="C21" s="3" t="s">
        <v>49</v>
      </c>
      <c r="D21" s="2"/>
      <c r="E21" s="2"/>
      <c r="F21" s="2"/>
      <c r="G21" s="2"/>
      <c r="H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2026-10-05T11:42:27Z</dcterms:created>
  <dc:creator>openpyxl</dc:creator>
  <dc:description/>
  <dc:language>en-US</dc:language>
  <cp:lastModifiedBy/>
  <dcterms:modified xsi:type="dcterms:W3CDTF">2026-10-05T11:42:27Z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